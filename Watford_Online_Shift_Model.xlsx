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rithvikulkarni/Desktop/untitled folder 2/vrxtra-booking-analytics/outputs/"/>
    </mc:Choice>
  </mc:AlternateContent>
  <xr:revisionPtr revIDLastSave="0" documentId="11_180F0F474E7F08881236121A5F829693DEE37041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cenario Model" sheetId="1" r:id="rId1"/>
    <sheet name="Sensitivity" sheetId="2" r:id="rId2"/>
    <sheet name="Assum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30" i="1"/>
  <c r="B23" i="1"/>
  <c r="B24" i="1" s="1"/>
  <c r="B20" i="1"/>
  <c r="B22" i="1" s="1"/>
  <c r="B15" i="1"/>
  <c r="B16" i="1" s="1"/>
  <c r="B21" i="1" l="1"/>
  <c r="B17" i="1"/>
  <c r="B25" i="1" s="1"/>
  <c r="B28" i="1" s="1"/>
  <c r="B29" i="1" s="1"/>
</calcChain>
</file>

<file path=xl/sharedStrings.xml><?xml version="1.0" encoding="utf-8"?>
<sst xmlns="http://schemas.openxmlformats.org/spreadsheetml/2006/main" count="75" uniqueCount="72">
  <si>
    <t>Watford Online-Shift Scenario Model</t>
  </si>
  <si>
    <t>What is the revenue impact of moving Watford's walk-in bookings online?</t>
  </si>
  <si>
    <t>Revenue is expressed in INDEXED units (Watford staff-assisted booking = 100), not currency.</t>
  </si>
  <si>
    <t>INPUTS  —  edit the blue cells</t>
  </si>
  <si>
    <t>Watford bookings per year</t>
  </si>
  <si>
    <t>Observed: 995 bookings over 457 days, annualised</t>
  </si>
  <si>
    <t>Current online share</t>
  </si>
  <si>
    <t>Observed Watford split: 537 online / 458 staff-assisted</t>
  </si>
  <si>
    <t>Target online share</t>
  </si>
  <si>
    <t>Cambridge's actual share — the benchmark</t>
  </si>
  <si>
    <t>Avg revenue, online (indexed)</t>
  </si>
  <si>
    <t>Watford online avg vs staff-assisted base</t>
  </si>
  <si>
    <t>Avg revenue, staff-assisted (indexed)</t>
  </si>
  <si>
    <t>Base = 100 by definition</t>
  </si>
  <si>
    <t>Premium realisation</t>
  </si>
  <si>
    <t>KEY ASSUMPTION — see Assumptions tab. What share of the observed premium actually transfers when a walk-in is moved online.</t>
  </si>
  <si>
    <t>Real avg staff-assisted booking (GBP)</t>
  </si>
  <si>
    <t>OPTIONAL — enter locally to convert to currency. Left blank in the published version.</t>
  </si>
  <si>
    <t>CURRENT STATE</t>
  </si>
  <si>
    <t>Online bookings</t>
  </si>
  <si>
    <t>Staff-assisted bookings</t>
  </si>
  <si>
    <t>Total revenue (indexed)</t>
  </si>
  <si>
    <t>SCENARIO</t>
  </si>
  <si>
    <t>Bookings shifted online</t>
  </si>
  <si>
    <t>The volume moving channel</t>
  </si>
  <si>
    <t>Gross premium per booking</t>
  </si>
  <si>
    <t>Observed gap between channels</t>
  </si>
  <si>
    <t>Realised premium per booking</t>
  </si>
  <si>
    <t>After applying the realisation haircut</t>
  </si>
  <si>
    <t>IMPACT</t>
  </si>
  <si>
    <t>Revenue uplift (indexed units)</t>
  </si>
  <si>
    <t>Revenue uplift (%)</t>
  </si>
  <si>
    <t>Uplift in GBP</t>
  </si>
  <si>
    <t>Converts indexed units to currency using the real base ARPB</t>
  </si>
  <si>
    <t>How to read this</t>
  </si>
  <si>
    <t>At 50% premium realisation, closing Watford's channel gap to Cambridge's level is worth the uplift shown in B28. Set B11 to 100% to see the (implausible) ceiling where the full observed premium transfers, and to 0% to confirm the model correctly returns no uplift when channel has no causal effect.</t>
  </si>
  <si>
    <t>Sensitivity: revenue uplift (indexed units)</t>
  </si>
  <si>
    <t>Rows = target online share. Columns = premium realisation. Both drive off the Scenario Model inputs.</t>
  </si>
  <si>
    <t>Target online share \ realisation</t>
  </si>
  <si>
    <t>Bold row = Cambridge's actual online share, the realistic target.</t>
  </si>
  <si>
    <t>Top-left cell (54% / 25%) is the do-nothing case and correctly returns zero uplift.</t>
  </si>
  <si>
    <t>Assumptions, sources and caveats</t>
  </si>
  <si>
    <t>SOURCES</t>
  </si>
  <si>
    <t>Watford bookings</t>
  </si>
  <si>
    <t>995 bookings observed over 457 days (11 Jan 2025 – 14 Apr 2026), annualised to 795/year.</t>
  </si>
  <si>
    <t>Watford channel split</t>
  </si>
  <si>
    <t>537 online (54.0%) / 458 staff-assisted (46.0%). Source: VRXtra booking export.</t>
  </si>
  <si>
    <t>Cambridge benchmark</t>
  </si>
  <si>
    <t>849 online (73.8%) / 302 staff-assisted (26.2%). Used as the target because it is an achieved result at a comparable site, not an aspiration.</t>
  </si>
  <si>
    <t>Channel premium</t>
  </si>
  <si>
    <t>Watford online bookings average 25.9% higher net revenue than staff-assisted. Note this is the SITE-SPECIFIC figure; the all-sites premium is 32%.</t>
  </si>
  <si>
    <t>Statistical support</t>
  </si>
  <si>
    <t>The revenue difference between channels is significant across the full dataset (Welch t = 7.6, p &lt; 0.0001, n = 1,386 vs 760).</t>
  </si>
  <si>
    <t>THE CENTRAL CAVEAT</t>
  </si>
  <si>
    <t>Correlation, not proven causation</t>
  </si>
  <si>
    <t>The premium is OBSERVED, not CAUSAL. Online bookings may be worth more because people booking ahead are planning larger group outings — not because the booking channel itself raises spend. Moving a walk-in online would not automatically turn a £70 booking into a £92 one.</t>
  </si>
  <si>
    <t>Why 'premium realisation' exists</t>
  </si>
  <si>
    <t>That is what input B11 is for. It is deliberately defaulted to 50%, not 100%, so the model does not overstate the case. Any figure quoted from this model should state the realisation assumption alongside it.</t>
  </si>
  <si>
    <t>How to resolve it</t>
  </si>
  <si>
    <t>Only a controlled test can. Run an intervention at Watford (QR-code booking at the door, or an online-only incentive), hold Cambridge as control, and measure the actual shift and the actual value of shifted bookings.</t>
  </si>
  <si>
    <t>LIMITATIONS</t>
  </si>
  <si>
    <t>Capacity ignored</t>
  </si>
  <si>
    <t>The model assumes total booking volume is unchanged and only the channel mix moves. It does not model demand growth or venue capacity limits.</t>
  </si>
  <si>
    <t>Cost ignored</t>
  </si>
  <si>
    <t>No cost is attached to whatever intervention drives the shift. This is a gross revenue view, not a net ROI.</t>
  </si>
  <si>
    <t>Seasonality ignored</t>
  </si>
  <si>
    <t>Annualised from 15 months during which the business grew substantially; trend and seasonality cannot be cleanly separated on this sample.</t>
  </si>
  <si>
    <t>DATA GOVERNANCE</t>
  </si>
  <si>
    <t>Indexed, not absolute</t>
  </si>
  <si>
    <t>All revenue is indexed to the Watford staff-assisted booking = 100. VRXtra approved publication of findings, not of their commercial figures.</t>
  </si>
  <si>
    <t>Personal data</t>
  </si>
  <si>
    <t>The source export contained 18 identifiable staff names, pseudonymised before analysis. No individual staff performance appears in this model or anywhere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</si>
</sst>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£#,##0.00"/>
    <numFmt numFmtId="167" formatCode="\£#,##0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444444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9"/>
      <color rgb="FF666666"/>
      <name val="Arial"/>
    </font>
    <font>
      <b/>
      <sz val="10"/>
      <name val="Arial"/>
    </font>
    <font>
      <sz val="9"/>
      <color rgb="FF444444"/>
      <name val="Arial"/>
    </font>
    <font>
      <i/>
      <sz val="9"/>
      <color rgb="FF666666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164" fontId="6" fillId="0" borderId="1" xfId="0" applyNumberFormat="1" applyFont="1" applyBorder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8" fillId="0" borderId="0" xfId="0" applyFont="1"/>
    <xf numFmtId="0" fontId="8" fillId="4" borderId="0" xfId="0" applyFont="1" applyFill="1"/>
    <xf numFmtId="164" fontId="8" fillId="4" borderId="0" xfId="0" applyNumberFormat="1" applyFont="1" applyFill="1" applyAlignment="1">
      <alignment horizontal="center"/>
    </xf>
    <xf numFmtId="164" fontId="5" fillId="0" borderId="0" xfId="0" applyNumberFormat="1" applyFont="1"/>
    <xf numFmtId="3" fontId="5" fillId="0" borderId="0" xfId="0" applyNumberFormat="1" applyFont="1"/>
    <xf numFmtId="164" fontId="8" fillId="0" borderId="0" xfId="0" applyNumberFormat="1" applyFont="1"/>
    <xf numFmtId="0" fontId="10" fillId="0" borderId="0" xfId="0" applyFont="1"/>
    <xf numFmtId="0" fontId="0" fillId="2" borderId="0" xfId="0" applyFill="1"/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showGridLines="0" tabSelected="1" workbookViewId="0"/>
  </sheetViews>
  <sheetFormatPr baseColWidth="10" defaultColWidth="8.83203125" defaultRowHeight="15" x14ac:dyDescent="0.2"/>
  <cols>
    <col min="1" max="1" width="46" customWidth="1"/>
    <col min="2" max="2" width="16" customWidth="1"/>
    <col min="3" max="3" width="46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3" spans="1:3" x14ac:dyDescent="0.2">
      <c r="A3" s="3" t="s">
        <v>2</v>
      </c>
    </row>
    <row r="5" spans="1:3" x14ac:dyDescent="0.2">
      <c r="A5" s="4" t="s">
        <v>3</v>
      </c>
      <c r="B5" s="4"/>
      <c r="C5" s="4"/>
    </row>
    <row r="6" spans="1:3" x14ac:dyDescent="0.2">
      <c r="A6" s="5" t="s">
        <v>4</v>
      </c>
      <c r="B6" s="6">
        <v>795</v>
      </c>
      <c r="C6" s="7" t="s">
        <v>5</v>
      </c>
    </row>
    <row r="7" spans="1:3" x14ac:dyDescent="0.2">
      <c r="A7" s="5" t="s">
        <v>6</v>
      </c>
      <c r="B7" s="8">
        <v>0.54</v>
      </c>
      <c r="C7" s="7" t="s">
        <v>7</v>
      </c>
    </row>
    <row r="8" spans="1:3" x14ac:dyDescent="0.2">
      <c r="A8" s="5" t="s">
        <v>8</v>
      </c>
      <c r="B8" s="9">
        <v>0.73799999999999999</v>
      </c>
      <c r="C8" s="7" t="s">
        <v>9</v>
      </c>
    </row>
    <row r="9" spans="1:3" x14ac:dyDescent="0.2">
      <c r="A9" s="5" t="s">
        <v>10</v>
      </c>
      <c r="B9" s="10">
        <v>125.9</v>
      </c>
      <c r="C9" s="7" t="s">
        <v>11</v>
      </c>
    </row>
    <row r="10" spans="1:3" x14ac:dyDescent="0.2">
      <c r="A10" s="5" t="s">
        <v>12</v>
      </c>
      <c r="B10" s="10">
        <v>100</v>
      </c>
      <c r="C10" s="7" t="s">
        <v>13</v>
      </c>
    </row>
    <row r="11" spans="1:3" x14ac:dyDescent="0.2">
      <c r="A11" s="5" t="s">
        <v>14</v>
      </c>
      <c r="B11" s="9">
        <v>0.5</v>
      </c>
      <c r="C11" s="7" t="s">
        <v>15</v>
      </c>
    </row>
    <row r="12" spans="1:3" x14ac:dyDescent="0.2">
      <c r="A12" s="5" t="s">
        <v>16</v>
      </c>
      <c r="B12" s="11"/>
      <c r="C12" s="7" t="s">
        <v>17</v>
      </c>
    </row>
    <row r="14" spans="1:3" x14ac:dyDescent="0.2">
      <c r="A14" s="4" t="s">
        <v>18</v>
      </c>
      <c r="B14" s="4"/>
      <c r="C14" s="4"/>
    </row>
    <row r="15" spans="1:3" x14ac:dyDescent="0.2">
      <c r="A15" s="5" t="s">
        <v>19</v>
      </c>
      <c r="B15" s="12">
        <f>ROUND($B$6*$B$7,0)</f>
        <v>429</v>
      </c>
      <c r="C15" s="7"/>
    </row>
    <row r="16" spans="1:3" x14ac:dyDescent="0.2">
      <c r="A16" s="5" t="s">
        <v>20</v>
      </c>
      <c r="B16" s="12">
        <f>$B$6-B15</f>
        <v>366</v>
      </c>
      <c r="C16" s="7"/>
    </row>
    <row r="17" spans="1:3" x14ac:dyDescent="0.2">
      <c r="A17" s="5" t="s">
        <v>21</v>
      </c>
      <c r="B17" s="12">
        <f>B15*$B$9+B16*$B$10</f>
        <v>90611.1</v>
      </c>
      <c r="C17" s="7"/>
    </row>
    <row r="19" spans="1:3" x14ac:dyDescent="0.2">
      <c r="A19" s="4" t="s">
        <v>22</v>
      </c>
      <c r="B19" s="4"/>
      <c r="C19" s="4"/>
    </row>
    <row r="20" spans="1:3" x14ac:dyDescent="0.2">
      <c r="A20" s="5" t="s">
        <v>19</v>
      </c>
      <c r="B20" s="12">
        <f>ROUND($B$6*$B$8,0)</f>
        <v>587</v>
      </c>
      <c r="C20" s="7"/>
    </row>
    <row r="21" spans="1:3" x14ac:dyDescent="0.2">
      <c r="A21" s="5" t="s">
        <v>20</v>
      </c>
      <c r="B21" s="12">
        <f>$B$6-B20</f>
        <v>208</v>
      </c>
      <c r="C21" s="7"/>
    </row>
    <row r="22" spans="1:3" x14ac:dyDescent="0.2">
      <c r="A22" s="5" t="s">
        <v>23</v>
      </c>
      <c r="B22" s="12">
        <f>B20-B15</f>
        <v>158</v>
      </c>
      <c r="C22" s="7" t="s">
        <v>24</v>
      </c>
    </row>
    <row r="23" spans="1:3" x14ac:dyDescent="0.2">
      <c r="A23" s="5" t="s">
        <v>25</v>
      </c>
      <c r="B23" s="13">
        <f>$B$9-$B$10</f>
        <v>25.900000000000006</v>
      </c>
      <c r="C23" s="7" t="s">
        <v>26</v>
      </c>
    </row>
    <row r="24" spans="1:3" x14ac:dyDescent="0.2">
      <c r="A24" s="5" t="s">
        <v>27</v>
      </c>
      <c r="B24" s="13">
        <f>B23*$B$11</f>
        <v>12.950000000000003</v>
      </c>
      <c r="C24" s="7" t="s">
        <v>28</v>
      </c>
    </row>
    <row r="25" spans="1:3" x14ac:dyDescent="0.2">
      <c r="A25" s="5" t="s">
        <v>21</v>
      </c>
      <c r="B25" s="12">
        <f>B17+B22*B24</f>
        <v>92657.200000000012</v>
      </c>
      <c r="C25" s="7"/>
    </row>
    <row r="27" spans="1:3" x14ac:dyDescent="0.2">
      <c r="A27" s="4" t="s">
        <v>29</v>
      </c>
      <c r="B27" s="4"/>
      <c r="C27" s="4"/>
    </row>
    <row r="28" spans="1:3" x14ac:dyDescent="0.2">
      <c r="A28" s="5" t="s">
        <v>30</v>
      </c>
      <c r="B28" s="14">
        <f>B25-B17</f>
        <v>2046.1000000000058</v>
      </c>
      <c r="C28" s="7"/>
    </row>
    <row r="29" spans="1:3" x14ac:dyDescent="0.2">
      <c r="A29" s="5" t="s">
        <v>31</v>
      </c>
      <c r="B29" s="15">
        <f>IFERROR(B28/B17,0)</f>
        <v>2.2581118648819027E-2</v>
      </c>
      <c r="C29" s="7"/>
    </row>
    <row r="30" spans="1:3" x14ac:dyDescent="0.2">
      <c r="A30" s="5" t="s">
        <v>32</v>
      </c>
      <c r="B30" s="16" t="str">
        <f>IF($B$12="","enter B12 to convert",B28*$B$12/$B$10)</f>
        <v>enter B12 to convert</v>
      </c>
      <c r="C30" s="7" t="s">
        <v>33</v>
      </c>
    </row>
    <row r="32" spans="1:3" x14ac:dyDescent="0.2">
      <c r="A32" s="17" t="s">
        <v>34</v>
      </c>
    </row>
    <row r="33" spans="1:3" x14ac:dyDescent="0.2">
      <c r="A33" s="26" t="s">
        <v>35</v>
      </c>
      <c r="B33" s="27"/>
      <c r="C33" s="27"/>
    </row>
    <row r="34" spans="1:3" x14ac:dyDescent="0.2">
      <c r="A34" s="27"/>
      <c r="B34" s="27"/>
      <c r="C34" s="27"/>
    </row>
    <row r="35" spans="1:3" x14ac:dyDescent="0.2">
      <c r="A35" s="27"/>
      <c r="B35" s="27"/>
      <c r="C35" s="27"/>
    </row>
  </sheetData>
  <mergeCells count="1">
    <mergeCell ref="A33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6" width="15" customWidth="1"/>
  </cols>
  <sheetData>
    <row r="1" spans="1:5" ht="18" x14ac:dyDescent="0.2">
      <c r="A1" s="1" t="s">
        <v>36</v>
      </c>
    </row>
    <row r="2" spans="1:5" x14ac:dyDescent="0.2">
      <c r="A2" s="2" t="s">
        <v>37</v>
      </c>
    </row>
    <row r="4" spans="1:5" x14ac:dyDescent="0.2">
      <c r="A4" s="18" t="s">
        <v>38</v>
      </c>
      <c r="B4" s="19">
        <v>0.25</v>
      </c>
      <c r="C4" s="19">
        <v>0.5</v>
      </c>
      <c r="D4" s="19">
        <v>0.75</v>
      </c>
      <c r="E4" s="19">
        <v>1</v>
      </c>
    </row>
    <row r="5" spans="1:5" x14ac:dyDescent="0.2">
      <c r="A5" s="20">
        <v>0.54</v>
      </c>
      <c r="B5" s="21">
        <f>($A5-'Scenario Model'!$B$7)*'Scenario Model'!$B$6*('Scenario Model'!$B$9-'Scenario Model'!$B$10)*B$4</f>
        <v>0</v>
      </c>
      <c r="C5" s="21">
        <f>($A5-'Scenario Model'!$B$7)*'Scenario Model'!$B$6*('Scenario Model'!$B$9-'Scenario Model'!$B$10)*C$4</f>
        <v>0</v>
      </c>
      <c r="D5" s="21">
        <f>($A5-'Scenario Model'!$B$7)*'Scenario Model'!$B$6*('Scenario Model'!$B$9-'Scenario Model'!$B$10)*D$4</f>
        <v>0</v>
      </c>
      <c r="E5" s="21">
        <f>($A5-'Scenario Model'!$B$7)*'Scenario Model'!$B$6*('Scenario Model'!$B$9-'Scenario Model'!$B$10)*E$4</f>
        <v>0</v>
      </c>
    </row>
    <row r="6" spans="1:5" x14ac:dyDescent="0.2">
      <c r="A6" s="20">
        <v>0.6</v>
      </c>
      <c r="B6" s="21">
        <f>($A6-'Scenario Model'!$B$7)*'Scenario Model'!$B$6*('Scenario Model'!$B$9-'Scenario Model'!$B$10)*B$4</f>
        <v>308.85749999999979</v>
      </c>
      <c r="C6" s="21">
        <f>($A6-'Scenario Model'!$B$7)*'Scenario Model'!$B$6*('Scenario Model'!$B$9-'Scenario Model'!$B$10)*C$4</f>
        <v>617.71499999999958</v>
      </c>
      <c r="D6" s="21">
        <f>($A6-'Scenario Model'!$B$7)*'Scenario Model'!$B$6*('Scenario Model'!$B$9-'Scenario Model'!$B$10)*D$4</f>
        <v>926.57249999999931</v>
      </c>
      <c r="E6" s="21">
        <f>($A6-'Scenario Model'!$B$7)*'Scenario Model'!$B$6*('Scenario Model'!$B$9-'Scenario Model'!$B$10)*E$4</f>
        <v>1235.4299999999992</v>
      </c>
    </row>
    <row r="7" spans="1:5" x14ac:dyDescent="0.2">
      <c r="A7" s="20">
        <v>0.65</v>
      </c>
      <c r="B7" s="21">
        <f>($A7-'Scenario Model'!$B$7)*'Scenario Model'!$B$6*('Scenario Model'!$B$9-'Scenario Model'!$B$10)*B$4</f>
        <v>566.2387500000001</v>
      </c>
      <c r="C7" s="21">
        <f>($A7-'Scenario Model'!$B$7)*'Scenario Model'!$B$6*('Scenario Model'!$B$9-'Scenario Model'!$B$10)*C$4</f>
        <v>1132.4775000000002</v>
      </c>
      <c r="D7" s="21">
        <f>($A7-'Scenario Model'!$B$7)*'Scenario Model'!$B$6*('Scenario Model'!$B$9-'Scenario Model'!$B$10)*D$4</f>
        <v>1698.7162500000004</v>
      </c>
      <c r="E7" s="21">
        <f>($A7-'Scenario Model'!$B$7)*'Scenario Model'!$B$6*('Scenario Model'!$B$9-'Scenario Model'!$B$10)*E$4</f>
        <v>2264.9550000000004</v>
      </c>
    </row>
    <row r="8" spans="1:5" x14ac:dyDescent="0.2">
      <c r="A8" s="20">
        <v>0.7</v>
      </c>
      <c r="B8" s="21">
        <f>($A8-'Scenario Model'!$B$7)*'Scenario Model'!$B$6*('Scenario Model'!$B$9-'Scenario Model'!$B$10)*B$4</f>
        <v>823.61999999999978</v>
      </c>
      <c r="C8" s="21">
        <f>($A8-'Scenario Model'!$B$7)*'Scenario Model'!$B$6*('Scenario Model'!$B$9-'Scenario Model'!$B$10)*C$4</f>
        <v>1647.2399999999996</v>
      </c>
      <c r="D8" s="21">
        <f>($A8-'Scenario Model'!$B$7)*'Scenario Model'!$B$6*('Scenario Model'!$B$9-'Scenario Model'!$B$10)*D$4</f>
        <v>2470.8599999999992</v>
      </c>
      <c r="E8" s="21">
        <f>($A8-'Scenario Model'!$B$7)*'Scenario Model'!$B$6*('Scenario Model'!$B$9-'Scenario Model'!$B$10)*E$4</f>
        <v>3294.4799999999991</v>
      </c>
    </row>
    <row r="9" spans="1:5" x14ac:dyDescent="0.2">
      <c r="A9" s="22">
        <v>0.73799999999999999</v>
      </c>
      <c r="B9" s="21">
        <f>($A9-'Scenario Model'!$B$7)*'Scenario Model'!$B$6*('Scenario Model'!$B$9-'Scenario Model'!$B$10)*B$4</f>
        <v>1019.22975</v>
      </c>
      <c r="C9" s="21">
        <f>($A9-'Scenario Model'!$B$7)*'Scenario Model'!$B$6*('Scenario Model'!$B$9-'Scenario Model'!$B$10)*C$4</f>
        <v>2038.4594999999999</v>
      </c>
      <c r="D9" s="21">
        <f>($A9-'Scenario Model'!$B$7)*'Scenario Model'!$B$6*('Scenario Model'!$B$9-'Scenario Model'!$B$10)*D$4</f>
        <v>3057.6892499999999</v>
      </c>
      <c r="E9" s="21">
        <f>($A9-'Scenario Model'!$B$7)*'Scenario Model'!$B$6*('Scenario Model'!$B$9-'Scenario Model'!$B$10)*E$4</f>
        <v>4076.9189999999999</v>
      </c>
    </row>
    <row r="10" spans="1:5" x14ac:dyDescent="0.2">
      <c r="A10" s="20">
        <v>0.8</v>
      </c>
      <c r="B10" s="21">
        <f>($A10-'Scenario Model'!$B$7)*'Scenario Model'!$B$6*('Scenario Model'!$B$9-'Scenario Model'!$B$10)*B$4</f>
        <v>1338.3825000000004</v>
      </c>
      <c r="C10" s="21">
        <f>($A10-'Scenario Model'!$B$7)*'Scenario Model'!$B$6*('Scenario Model'!$B$9-'Scenario Model'!$B$10)*C$4</f>
        <v>2676.7650000000008</v>
      </c>
      <c r="D10" s="21">
        <f>($A10-'Scenario Model'!$B$7)*'Scenario Model'!$B$6*('Scenario Model'!$B$9-'Scenario Model'!$B$10)*D$4</f>
        <v>4015.1475000000009</v>
      </c>
      <c r="E10" s="21">
        <f>($A10-'Scenario Model'!$B$7)*'Scenario Model'!$B$6*('Scenario Model'!$B$9-'Scenario Model'!$B$10)*E$4</f>
        <v>5353.5300000000016</v>
      </c>
    </row>
    <row r="12" spans="1:5" x14ac:dyDescent="0.2">
      <c r="A12" s="23" t="s">
        <v>39</v>
      </c>
    </row>
    <row r="13" spans="1:5" x14ac:dyDescent="0.2">
      <c r="A13" s="2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84" customWidth="1"/>
  </cols>
  <sheetData>
    <row r="1" spans="1:2" ht="18" x14ac:dyDescent="0.2">
      <c r="A1" s="1" t="s">
        <v>41</v>
      </c>
    </row>
    <row r="3" spans="1:2" x14ac:dyDescent="0.2">
      <c r="A3" s="4" t="s">
        <v>42</v>
      </c>
      <c r="B3" s="24"/>
    </row>
    <row r="4" spans="1:2" ht="15" customHeight="1" x14ac:dyDescent="0.2">
      <c r="A4" s="17" t="s">
        <v>43</v>
      </c>
      <c r="B4" s="25" t="s">
        <v>44</v>
      </c>
    </row>
    <row r="5" spans="1:2" ht="15" customHeight="1" x14ac:dyDescent="0.2">
      <c r="A5" s="17" t="s">
        <v>45</v>
      </c>
      <c r="B5" s="25" t="s">
        <v>46</v>
      </c>
    </row>
    <row r="6" spans="1:2" ht="24" customHeight="1" x14ac:dyDescent="0.2">
      <c r="A6" s="17" t="s">
        <v>47</v>
      </c>
      <c r="B6" s="25" t="s">
        <v>48</v>
      </c>
    </row>
    <row r="7" spans="1:2" ht="24" customHeight="1" x14ac:dyDescent="0.2">
      <c r="A7" s="17" t="s">
        <v>49</v>
      </c>
      <c r="B7" s="25" t="s">
        <v>50</v>
      </c>
    </row>
    <row r="8" spans="1:2" ht="24" customHeight="1" x14ac:dyDescent="0.2">
      <c r="A8" s="17" t="s">
        <v>51</v>
      </c>
      <c r="B8" s="25" t="s">
        <v>52</v>
      </c>
    </row>
    <row r="10" spans="1:2" x14ac:dyDescent="0.2">
      <c r="A10" s="4" t="s">
        <v>53</v>
      </c>
      <c r="B10" s="24"/>
    </row>
    <row r="11" spans="1:2" ht="48" customHeight="1" x14ac:dyDescent="0.2">
      <c r="A11" s="17" t="s">
        <v>54</v>
      </c>
      <c r="B11" s="25" t="s">
        <v>55</v>
      </c>
    </row>
    <row r="12" spans="1:2" ht="36" customHeight="1" x14ac:dyDescent="0.2">
      <c r="A12" s="17" t="s">
        <v>56</v>
      </c>
      <c r="B12" s="25" t="s">
        <v>57</v>
      </c>
    </row>
    <row r="13" spans="1:2" ht="36" customHeight="1" x14ac:dyDescent="0.2">
      <c r="A13" s="17" t="s">
        <v>58</v>
      </c>
      <c r="B13" s="25" t="s">
        <v>59</v>
      </c>
    </row>
    <row r="15" spans="1:2" x14ac:dyDescent="0.2">
      <c r="A15" s="4" t="s">
        <v>60</v>
      </c>
      <c r="B15" s="24"/>
    </row>
    <row r="16" spans="1:2" ht="24" customHeight="1" x14ac:dyDescent="0.2">
      <c r="A16" s="17" t="s">
        <v>61</v>
      </c>
      <c r="B16" s="25" t="s">
        <v>62</v>
      </c>
    </row>
    <row r="17" spans="1:2" ht="24" customHeight="1" x14ac:dyDescent="0.2">
      <c r="A17" s="17" t="s">
        <v>63</v>
      </c>
      <c r="B17" s="25" t="s">
        <v>64</v>
      </c>
    </row>
    <row r="18" spans="1:2" ht="24" customHeight="1" x14ac:dyDescent="0.2">
      <c r="A18" s="17" t="s">
        <v>65</v>
      </c>
      <c r="B18" s="25" t="s">
        <v>66</v>
      </c>
    </row>
    <row r="20" spans="1:2" x14ac:dyDescent="0.2">
      <c r="A20" s="4" t="s">
        <v>67</v>
      </c>
      <c r="B20" s="24"/>
    </row>
    <row r="21" spans="1:2" ht="24" customHeight="1" x14ac:dyDescent="0.2">
      <c r="A21" s="17" t="s">
        <v>68</v>
      </c>
      <c r="B21" s="25" t="s">
        <v>69</v>
      </c>
    </row>
    <row r="22" spans="1:2" ht="24" customHeight="1" x14ac:dyDescent="0.2">
      <c r="A22" s="17" t="s">
        <v>70</v>
      </c>
      <c r="B22" s="25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Model</vt:lpstr>
      <vt:lpstr>Sensitivity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Kulkarni, Prithvijeet (Student)</cp:lastModifiedBy>
  <dcterms:created xsi:type="dcterms:W3CDTF">2026-07-26T11:02:22Z</dcterms:created>
  <dcterms:modified xsi:type="dcterms:W3CDTF">2026-07-26T11:02:58Z</dcterms:modified>
</cp:coreProperties>
</file>